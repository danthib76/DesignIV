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DesignIV\Remise\Simulation\"/>
    </mc:Choice>
  </mc:AlternateContent>
  <bookViews>
    <workbookView xWindow="600" yWindow="90" windowWidth="12915" windowHeight="8250"/>
  </bookViews>
  <sheets>
    <sheet name="Paramètres" sheetId="1" r:id="rId1"/>
    <sheet name="Options" sheetId="2" r:id="rId2"/>
    <sheet name="Résultats" sheetId="3" r:id="rId3"/>
  </sheets>
  <functionGroups builtInGroupCount="18"/>
  <calcPr calcId="152511"/>
</workbook>
</file>

<file path=xl/sharedStrings.xml><?xml version="1.0" encoding="utf-8"?>
<sst xmlns="http://schemas.openxmlformats.org/spreadsheetml/2006/main" count="215" uniqueCount="129">
  <si>
    <t>Pas de calcul</t>
  </si>
  <si>
    <t>Sensibilité pour la tension moyenne</t>
  </si>
  <si>
    <t>Inductance de découplage</t>
  </si>
  <si>
    <t>Valeurs des électroaimants</t>
  </si>
  <si>
    <t>Résistance</t>
  </si>
  <si>
    <t>Inductance</t>
  </si>
  <si>
    <t>Valeurs des subbers RC</t>
  </si>
  <si>
    <t>Capacité</t>
  </si>
  <si>
    <t>Résistance IGBT</t>
  </si>
  <si>
    <t>P</t>
  </si>
  <si>
    <t>I</t>
  </si>
  <si>
    <t>Tpas</t>
  </si>
  <si>
    <t>Freq</t>
  </si>
  <si>
    <t>Lcoup</t>
  </si>
  <si>
    <t>Ron</t>
  </si>
  <si>
    <t>Rch</t>
  </si>
  <si>
    <t>Rs</t>
  </si>
  <si>
    <t>Cs</t>
  </si>
  <si>
    <t>Paramètres généraux</t>
  </si>
  <si>
    <t>ech</t>
  </si>
  <si>
    <t>Fréquence</t>
  </si>
  <si>
    <t>inf</t>
  </si>
  <si>
    <t>[0.0109 -0.0162 0.0109]</t>
  </si>
  <si>
    <t>[1 -1.8954 0.9009]</t>
  </si>
  <si>
    <t>Options générales</t>
  </si>
  <si>
    <t>Simulations disponibles</t>
  </si>
  <si>
    <t>DCP-DCN</t>
  </si>
  <si>
    <t xml:space="preserve">AFE </t>
  </si>
  <si>
    <t>Assemblage complet</t>
  </si>
  <si>
    <t>AFE 2 niveaux - Hystérésis - Charge Idéale</t>
  </si>
  <si>
    <t>AFE 2 niveaux - Hystérésis - Charge RC</t>
  </si>
  <si>
    <t>AFE 3 niveaux - PWM - Charge RC</t>
  </si>
  <si>
    <t>Hacheur 4 Quadrants - PWM</t>
  </si>
  <si>
    <t xml:space="preserve">DCP-DCN 3 niveaux - PWM </t>
  </si>
  <si>
    <t>Type de simulation</t>
  </si>
  <si>
    <t>Choix de la simulation</t>
  </si>
  <si>
    <t>Durée de simulation</t>
  </si>
  <si>
    <t>Timer</t>
  </si>
  <si>
    <t>Paramètres des simulations</t>
  </si>
  <si>
    <t>Valeurs des sources</t>
  </si>
  <si>
    <t>Tension CA LL RMS</t>
  </si>
  <si>
    <t>Vac</t>
  </si>
  <si>
    <t>Tension CC</t>
  </si>
  <si>
    <t>Vdc</t>
  </si>
  <si>
    <t>Courant Maximal dans la charge</t>
  </si>
  <si>
    <t>Inductance de source</t>
  </si>
  <si>
    <t>Lac</t>
  </si>
  <si>
    <t xml:space="preserve">Hysteresis </t>
  </si>
  <si>
    <t>hys</t>
  </si>
  <si>
    <t>R</t>
  </si>
  <si>
    <t>Affichage des résultats</t>
  </si>
  <si>
    <t>Nom</t>
  </si>
  <si>
    <t>Choix</t>
  </si>
  <si>
    <t>Puissance dans la charge</t>
  </si>
  <si>
    <t>Tension de la source</t>
  </si>
  <si>
    <t>Courant de la source</t>
  </si>
  <si>
    <t>Tension sur la charge</t>
  </si>
  <si>
    <t>Courant dans la charge</t>
  </si>
  <si>
    <t>Tension sur T1</t>
  </si>
  <si>
    <t>Courant dans T1</t>
  </si>
  <si>
    <t>Logiciels de simulation</t>
  </si>
  <si>
    <t>Psim</t>
  </si>
  <si>
    <t>Matlab/Simulink</t>
  </si>
  <si>
    <t>Nom de la simulation Simulink</t>
  </si>
  <si>
    <t>Nom de la simulation Psim</t>
  </si>
  <si>
    <t>Cbus</t>
  </si>
  <si>
    <t>Satv</t>
  </si>
  <si>
    <t>Pv</t>
  </si>
  <si>
    <t>Iv</t>
  </si>
  <si>
    <t>Paramètres du PI - Courant AFE - 2 Niveaux</t>
  </si>
  <si>
    <t>Paramètres du PI - Courant AFE - 3 Niveaux</t>
  </si>
  <si>
    <t>PAFE3L</t>
  </si>
  <si>
    <t>IAFE3L</t>
  </si>
  <si>
    <t>Paramètres du PI - PWM Modulation</t>
  </si>
  <si>
    <t>PDPC</t>
  </si>
  <si>
    <t>IDPC</t>
  </si>
  <si>
    <t>Fréquence de modulation</t>
  </si>
  <si>
    <t>fmod4Q</t>
  </si>
  <si>
    <t>Paramètres du PI - Hacheur 4 Quadrants</t>
  </si>
  <si>
    <t>P4Q</t>
  </si>
  <si>
    <t>I4Q</t>
  </si>
  <si>
    <t>KLP4Q</t>
  </si>
  <si>
    <t>TLP4Q</t>
  </si>
  <si>
    <t>Paramètres du filtre passe-bas - Hacheur 4 Quadrants</t>
  </si>
  <si>
    <t>Paramètres du filtre passe-bas - DCP-DCN et AFE</t>
  </si>
  <si>
    <t>Numérateur</t>
  </si>
  <si>
    <t>Dénominateur</t>
  </si>
  <si>
    <t>KLPDCP</t>
  </si>
  <si>
    <t>TLPDCP</t>
  </si>
  <si>
    <t>Ideal_2L_Hys.slx</t>
  </si>
  <si>
    <t>RC_2L_Hys.slx</t>
  </si>
  <si>
    <t>RC_3L_PWM.slx</t>
  </si>
  <si>
    <t>DCP - 3 niveaux - PWM</t>
  </si>
  <si>
    <t>DCP_DCN_PWM.slx</t>
  </si>
  <si>
    <t>DCP_PWM.slx</t>
  </si>
  <si>
    <t>H4Q.slx</t>
  </si>
  <si>
    <t>AFE 2 niveaux + Hacheur 4 Quadrants</t>
  </si>
  <si>
    <t>AFE 3 niveaux + DCP-DCN 3 niveaux</t>
  </si>
  <si>
    <t>AFE_2L_H4Q.slx</t>
  </si>
  <si>
    <t>AFE_3L_DCP_DCN.slx</t>
  </si>
  <si>
    <t>D:\Documents\GitHub\DesignIV\Remise\Simulation\Remise_Simulations\SPS\CC-CC\</t>
  </si>
  <si>
    <t>D:\Documents\GitHub\DesignIV\Remise\Simulation\Remise_Simulations\SPS\AFE\</t>
  </si>
  <si>
    <t>D:\Documents\GitHub\DesignIV\Remise\Simulation\Remise_Simulations\SPS\</t>
  </si>
  <si>
    <t>Valeurs de la charge - AFE</t>
  </si>
  <si>
    <t>L</t>
  </si>
  <si>
    <t>Fichier de Calcul de PI et filtres</t>
  </si>
  <si>
    <t>CalcPIAndFilters.m</t>
  </si>
  <si>
    <t>4Q_Main.psimsch</t>
  </si>
  <si>
    <t>NOT</t>
  </si>
  <si>
    <t>DCP_DCN_Main.psimsch</t>
  </si>
  <si>
    <t>2L_Ideal_Hys.psimsch</t>
  </si>
  <si>
    <t>2L_RC_Hys.psimsch</t>
  </si>
  <si>
    <t>3L_RC_PWM.psimsch</t>
  </si>
  <si>
    <t>AFE_4Q.psimsch</t>
  </si>
  <si>
    <t>AFE_DCP_DCN_3L.psimsch</t>
  </si>
  <si>
    <t>Location de PSim</t>
  </si>
  <si>
    <t>Inf</t>
  </si>
  <si>
    <t>[0.010863027693898 -0.0162362834654248 0.010863027693898]</t>
  </si>
  <si>
    <t>[1 -1.89536889465855 0.900864990554093]</t>
  </si>
  <si>
    <t>D:\Documents\GitHub\DesignIV\Remise\Simulation\Remise_Simulations\PSim\4Q\</t>
  </si>
  <si>
    <t>D:\Documents\GitHub\DesignIV\Remise\Simulation\Remise_Simulations\PSim\AFE\</t>
  </si>
  <si>
    <t>D:\Documents\GitHub\DesignIV\Remise\Simulation\Remise_Simulations\PSim</t>
  </si>
  <si>
    <t>Test</t>
  </si>
  <si>
    <t>test.psimsch</t>
  </si>
  <si>
    <t>test</t>
  </si>
  <si>
    <t>C:\Program Files\Powersim\PSIM9.0.3_X64</t>
  </si>
  <si>
    <t>"C:\Program Files\Powersim\PSIM9.0.3_X64\PsimCmd.exe" -i "D:\Documents\GitHub\DesignIV\Remise\Simulation\Remise_Simulations\SPS\CC-CC\H4Q.slx.psimsch" -o "D:\Documents\GitHub\DesignIV\Remise\Simulation\Remise_Simulations\SPS\CC-CC\test2.smv" -v "Tpas= .00001"  -v "Timer= .9"  -v "Freq= 50"  -v "ech= 3000"  -v "Lcoup= .00001"  -v "Ron= .01"  -v "hys= 450"  -v "fmod4Q= 1000"  -v "R= .28"  -v "L= .1"  -v "Rs= 100000"  -v "Cs=0"  -v "Vac= 2000"  -v "Vdc= 5000"  -v "Satv= 1469.7"  -v "Lac= .00081487"  -v "Rch= 9.28"  -v "Cbus= .3"  -v "Pv= 25.72428"  -v "Iv= 9.25999999985549"  -v "PAFE3L= 150"  -v "IAFE3L= 12000.0000000005"  -v "P4Q= 7.14285714285714E-03"  -v "I4Q= 2.00000000000547E-02"  -v "PDPC= 1.5611"  -v "IDPC= 24.6"  -v "KLP4Q= 1.99800133266693E-03"  -v "TLP4Q=-.998001998667333"  -v "KLPDCP=0.010863027693898 0.0162362834654248 0.010863027693898"  -v "TLPDCP=1 1.89536889465855 0.900864990554093"  -g</t>
  </si>
  <si>
    <t>Saturation</t>
  </si>
  <si>
    <t>SatPI4HQ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</si>
</sst>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Border="1" applyAlignment="1">
      <alignment horizontal="left"/>
    </xf>
    <xf numFmtId="0" fontId="0" fillId="0" borderId="0" xfId="0" applyBorder="1" applyAlignment="1"/>
    <xf numFmtId="0" fontId="4" fillId="0" borderId="0" xfId="0" applyFont="1" applyBorder="1" applyAlignment="1">
      <alignment horizontal="center"/>
    </xf>
    <xf numFmtId="11" fontId="2" fillId="0" borderId="0" xfId="0" applyNumberFormat="1" applyFont="1" applyBorder="1" applyAlignment="1"/>
    <xf numFmtId="11" fontId="2" fillId="0" borderId="0" xfId="0" applyNumberFormat="1" applyFont="1" applyAlignment="1"/>
    <xf numFmtId="0" fontId="2" fillId="0" borderId="0" xfId="0" applyFont="1" applyAlignment="1">
      <alignment horizontal="right"/>
    </xf>
    <xf numFmtId="0" fontId="0" fillId="0" borderId="0" xfId="0" applyAlignme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/>
    <xf numFmtId="2" fontId="2" fillId="0" borderId="0" xfId="0" applyNumberFormat="1" applyFont="1" applyBorder="1" applyAlignmen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/>
    <xf numFmtId="0" fontId="0" fillId="0" borderId="0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Puissance</a:t>
            </a:r>
            <a:r>
              <a:rPr lang="fr-CA" baseline="0"/>
              <a:t> consommée par la charge</a:t>
            </a:r>
            <a:endParaRPr lang="fr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Puissance active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Résultats!$A$3:$A$100003</c:f>
              <c:numCache>
                <c:formatCode>General</c:formatCode>
                <c:ptCount val="100001"/>
              </c:numCache>
            </c:numRef>
          </c:xVal>
          <c:yVal>
            <c:numRef>
              <c:f>Résultats!$B$3:$B$100003</c:f>
              <c:numCache>
                <c:formatCode>General</c:formatCode>
                <c:ptCount val="100001"/>
              </c:numCache>
            </c:numRef>
          </c:yVal>
          <c:smooth val="1"/>
        </c:ser>
        <c:ser>
          <c:idx val="1"/>
          <c:order val="1"/>
          <c:tx>
            <c:v>Puissance réactive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Résultats!$A$3:$A$100003</c:f>
              <c:numCache>
                <c:formatCode>General</c:formatCode>
                <c:ptCount val="100001"/>
              </c:numCache>
            </c:numRef>
          </c:xVal>
          <c:yVal>
            <c:numRef>
              <c:f>Résultats!$C$3:$C$100003</c:f>
              <c:numCache>
                <c:formatCode>General</c:formatCode>
                <c:ptCount val="10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18961520"/>
        <c:axId val="-418956624"/>
      </c:scatterChart>
      <c:valAx>
        <c:axId val="-4189615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18956624"/>
        <c:crosses val="autoZero"/>
        <c:crossBetween val="midCat"/>
      </c:valAx>
      <c:valAx>
        <c:axId val="-41895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41896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2" val="0">
  <itemLst>
    <item val="AFE "/>
    <item val="DCP-DCN"/>
    <item val="Assemblage complet"/>
  </itemLst>
</formControlPr>
</file>

<file path=xl/ctrlProps/ctrlProp2.xml><?xml version="1.0" encoding="utf-8"?>
<formControlPr xmlns="http://schemas.microsoft.com/office/spreadsheetml/2009/9/main" objectType="Drop" dropStyle="combo" dx="16" noThreeD="1" val="0">
  <itemLst>
    <item val="Hacheur 4 Quadrants - PWM"/>
    <item val="DCP - 3 niveaux - PWM"/>
    <item val="DCP-DCN 3 niveaux - PWM "/>
    <item val="Test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Style="combo" dx="16" fmlaRange="Options!$A$25:$A$26" noThreeD="1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742950</xdr:colOff>
          <xdr:row>4</xdr:row>
          <xdr:rowOff>0</xdr:rowOff>
        </xdr:to>
        <xdr:sp macro="" textlink="">
          <xdr:nvSpPr>
            <xdr:cNvPr id="1025" name="SimulationsTypeComboBo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5</xdr:col>
          <xdr:colOff>752475</xdr:colOff>
          <xdr:row>7</xdr:row>
          <xdr:rowOff>0</xdr:rowOff>
        </xdr:to>
        <xdr:sp macro="" textlink="">
          <xdr:nvSpPr>
            <xdr:cNvPr id="1028" name="SimulationChoic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13</xdr:row>
          <xdr:rowOff>85725</xdr:rowOff>
        </xdr:from>
        <xdr:to>
          <xdr:col>6</xdr:col>
          <xdr:colOff>704850</xdr:colOff>
          <xdr:row>15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18</xdr:row>
          <xdr:rowOff>180975</xdr:rowOff>
        </xdr:from>
        <xdr:to>
          <xdr:col>4</xdr:col>
          <xdr:colOff>571500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19</xdr:row>
          <xdr:rowOff>180975</xdr:rowOff>
        </xdr:from>
        <xdr:to>
          <xdr:col>4</xdr:col>
          <xdr:colOff>561975</xdr:colOff>
          <xdr:row>21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20</xdr:row>
          <xdr:rowOff>190500</xdr:rowOff>
        </xdr:from>
        <xdr:to>
          <xdr:col>4</xdr:col>
          <xdr:colOff>561975</xdr:colOff>
          <xdr:row>22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21</xdr:row>
          <xdr:rowOff>190500</xdr:rowOff>
        </xdr:from>
        <xdr:to>
          <xdr:col>4</xdr:col>
          <xdr:colOff>561975</xdr:colOff>
          <xdr:row>23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22</xdr:row>
          <xdr:rowOff>190500</xdr:rowOff>
        </xdr:from>
        <xdr:to>
          <xdr:col>4</xdr:col>
          <xdr:colOff>561975</xdr:colOff>
          <xdr:row>24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23</xdr:row>
          <xdr:rowOff>190500</xdr:rowOff>
        </xdr:from>
        <xdr:to>
          <xdr:col>4</xdr:col>
          <xdr:colOff>561975</xdr:colOff>
          <xdr:row>25</xdr:row>
          <xdr:rowOff>28575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24</xdr:row>
          <xdr:rowOff>171450</xdr:rowOff>
        </xdr:from>
        <xdr:to>
          <xdr:col>4</xdr:col>
          <xdr:colOff>561975</xdr:colOff>
          <xdr:row>26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190500</xdr:rowOff>
        </xdr:from>
        <xdr:to>
          <xdr:col>4</xdr:col>
          <xdr:colOff>752475</xdr:colOff>
          <xdr:row>10</xdr:row>
          <xdr:rowOff>0</xdr:rowOff>
        </xdr:to>
        <xdr:sp macro="" textlink="">
          <xdr:nvSpPr>
            <xdr:cNvPr id="1037" name="SimulationSoftwareBox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35</xdr:row>
          <xdr:rowOff>28575</xdr:rowOff>
        </xdr:from>
        <xdr:to>
          <xdr:col>4</xdr:col>
          <xdr:colOff>723900</xdr:colOff>
          <xdr:row>37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600" b="0" i="0" u="none" strike="noStrike" baseline="0">
                  <a:solidFill>
                    <a:srgbClr val="000000"/>
                  </a:solidFill>
                  <a:latin typeface="Calibri"/>
                </a:rPr>
                <a:t>Calculer les PI et filtres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19</xdr:row>
          <xdr:rowOff>66675</xdr:rowOff>
        </xdr:from>
        <xdr:to>
          <xdr:col>2</xdr:col>
          <xdr:colOff>495300</xdr:colOff>
          <xdr:row>20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Mettre à jour les paramètres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52386</xdr:rowOff>
    </xdr:from>
    <xdr:to>
      <xdr:col>11</xdr:col>
      <xdr:colOff>685801</xdr:colOff>
      <xdr:row>20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3"/>
  <sheetViews>
    <sheetView tabSelected="1" topLeftCell="A30" workbookViewId="0">
      <selection activeCell="B40" sqref="B40"/>
    </sheetView>
  </sheetViews>
  <sheetFormatPr defaultColWidth="11.42578125" defaultRowHeight="15" x14ac:dyDescent="0.25"/>
  <cols>
    <col min="1" max="1" width="54.5703125" bestFit="1" customWidth="1"/>
    <col min="2" max="2" width="31.140625" customWidth="1"/>
    <col min="4" max="4" width="23" bestFit="1" customWidth="1"/>
  </cols>
  <sheetData>
    <row r="1" spans="1:6" ht="18.75" x14ac:dyDescent="0.3">
      <c r="A1" s="28" t="s">
        <v>38</v>
      </c>
      <c r="B1" s="29"/>
      <c r="C1" s="29"/>
      <c r="D1" s="29"/>
      <c r="E1" s="29"/>
    </row>
    <row r="2" spans="1:6" x14ac:dyDescent="0.25">
      <c r="A2" s="9" t="s">
        <v>18</v>
      </c>
      <c r="B2" s="8"/>
      <c r="C2" s="8"/>
    </row>
    <row r="3" spans="1:6" ht="15.75" x14ac:dyDescent="0.25">
      <c r="A3" s="7" t="s">
        <v>0</v>
      </c>
      <c r="B3" s="10">
        <v>1.0000000000000001E-5</v>
      </c>
      <c r="C3" t="s">
        <v>11</v>
      </c>
      <c r="D3" s="25" t="s">
        <v>34</v>
      </c>
      <c r="E3" s="25"/>
      <c r="F3" s="25"/>
    </row>
    <row r="4" spans="1:6" ht="15.75" x14ac:dyDescent="0.25">
      <c r="A4" s="7" t="s">
        <v>36</v>
      </c>
      <c r="B4" s="17">
        <v>0.9</v>
      </c>
      <c r="C4" t="s">
        <v>37</v>
      </c>
      <c r="D4" s="1"/>
    </row>
    <row r="5" spans="1:6" ht="15.75" x14ac:dyDescent="0.25">
      <c r="A5" s="7" t="s">
        <v>20</v>
      </c>
      <c r="B5" s="17">
        <v>50</v>
      </c>
      <c r="C5" t="s">
        <v>12</v>
      </c>
      <c r="D5" s="1"/>
    </row>
    <row r="6" spans="1:6" ht="15.75" x14ac:dyDescent="0.25">
      <c r="A6" s="2" t="s">
        <v>1</v>
      </c>
      <c r="B6" s="2">
        <v>3000</v>
      </c>
      <c r="C6" t="s">
        <v>19</v>
      </c>
      <c r="D6" s="25" t="s">
        <v>35</v>
      </c>
      <c r="E6" s="25"/>
      <c r="F6" s="25"/>
    </row>
    <row r="7" spans="1:6" ht="15.75" x14ac:dyDescent="0.25">
      <c r="A7" s="2" t="s">
        <v>2</v>
      </c>
      <c r="B7" s="10">
        <v>1.0000000000000001E-5</v>
      </c>
      <c r="C7" t="s">
        <v>13</v>
      </c>
      <c r="D7" s="1"/>
    </row>
    <row r="8" spans="1:6" ht="15.75" x14ac:dyDescent="0.25">
      <c r="A8" s="5" t="s">
        <v>8</v>
      </c>
      <c r="B8" s="11">
        <v>0.01</v>
      </c>
      <c r="C8" t="s">
        <v>14</v>
      </c>
      <c r="D8" s="1"/>
    </row>
    <row r="9" spans="1:6" ht="15.75" x14ac:dyDescent="0.25">
      <c r="A9" s="5" t="s">
        <v>47</v>
      </c>
      <c r="B9" s="5">
        <v>450</v>
      </c>
      <c r="C9" t="s">
        <v>48</v>
      </c>
      <c r="D9" s="27" t="s">
        <v>60</v>
      </c>
      <c r="E9" s="27"/>
    </row>
    <row r="10" spans="1:6" ht="15.75" x14ac:dyDescent="0.25">
      <c r="A10" s="5" t="s">
        <v>76</v>
      </c>
      <c r="B10" s="2">
        <v>1000</v>
      </c>
      <c r="C10" t="s">
        <v>77</v>
      </c>
    </row>
    <row r="12" spans="1:6" ht="15.75" x14ac:dyDescent="0.25">
      <c r="A12" s="3" t="s">
        <v>3</v>
      </c>
    </row>
    <row r="13" spans="1:6" ht="15.75" x14ac:dyDescent="0.25">
      <c r="A13" s="2" t="s">
        <v>4</v>
      </c>
      <c r="B13" s="2">
        <v>0.28000000000000003</v>
      </c>
      <c r="C13" t="s">
        <v>49</v>
      </c>
    </row>
    <row r="14" spans="1:6" ht="15.75" x14ac:dyDescent="0.25">
      <c r="A14" s="2" t="s">
        <v>5</v>
      </c>
      <c r="B14" s="2">
        <v>0.1</v>
      </c>
      <c r="C14" t="s">
        <v>104</v>
      </c>
    </row>
    <row r="15" spans="1:6" ht="15.75" x14ac:dyDescent="0.25">
      <c r="A15" s="2"/>
      <c r="B15" s="2"/>
    </row>
    <row r="16" spans="1:6" ht="15.75" x14ac:dyDescent="0.25">
      <c r="A16" s="4" t="s">
        <v>6</v>
      </c>
      <c r="B16" s="6"/>
    </row>
    <row r="17" spans="1:5" ht="15.75" x14ac:dyDescent="0.25">
      <c r="A17" s="5" t="s">
        <v>4</v>
      </c>
      <c r="B17" s="5">
        <v>100000</v>
      </c>
      <c r="C17" t="s">
        <v>16</v>
      </c>
    </row>
    <row r="18" spans="1:5" ht="15.75" x14ac:dyDescent="0.25">
      <c r="A18" s="5" t="s">
        <v>7</v>
      </c>
      <c r="B18" s="12" t="s">
        <v>116</v>
      </c>
      <c r="C18" t="s">
        <v>17</v>
      </c>
      <c r="D18" s="26" t="s">
        <v>50</v>
      </c>
      <c r="E18" s="26"/>
    </row>
    <row r="19" spans="1:5" ht="15.75" x14ac:dyDescent="0.25">
      <c r="A19" s="5"/>
      <c r="B19" s="5"/>
      <c r="D19" s="15" t="s">
        <v>51</v>
      </c>
      <c r="E19" s="15" t="s">
        <v>52</v>
      </c>
    </row>
    <row r="20" spans="1:5" ht="15.75" x14ac:dyDescent="0.25">
      <c r="A20" s="4" t="s">
        <v>39</v>
      </c>
      <c r="B20" s="13"/>
      <c r="C20" s="13"/>
      <c r="D20" t="s">
        <v>53</v>
      </c>
    </row>
    <row r="21" spans="1:5" x14ac:dyDescent="0.25">
      <c r="A21" t="s">
        <v>40</v>
      </c>
      <c r="B21">
        <v>2000</v>
      </c>
      <c r="C21" t="s">
        <v>41</v>
      </c>
      <c r="D21" t="s">
        <v>54</v>
      </c>
    </row>
    <row r="22" spans="1:5" x14ac:dyDescent="0.25">
      <c r="A22" t="s">
        <v>42</v>
      </c>
      <c r="B22">
        <v>5000</v>
      </c>
      <c r="C22" t="s">
        <v>43</v>
      </c>
      <c r="D22" t="s">
        <v>55</v>
      </c>
    </row>
    <row r="23" spans="1:5" x14ac:dyDescent="0.25">
      <c r="A23" t="s">
        <v>44</v>
      </c>
      <c r="B23">
        <v>1469.7</v>
      </c>
      <c r="C23" t="s">
        <v>66</v>
      </c>
      <c r="D23" t="s">
        <v>56</v>
      </c>
    </row>
    <row r="24" spans="1:5" x14ac:dyDescent="0.25">
      <c r="A24" t="s">
        <v>45</v>
      </c>
      <c r="B24" s="18">
        <v>8.1486999999999998E-4</v>
      </c>
      <c r="C24" t="s">
        <v>46</v>
      </c>
      <c r="D24" t="s">
        <v>57</v>
      </c>
    </row>
    <row r="25" spans="1:5" x14ac:dyDescent="0.25">
      <c r="D25" t="s">
        <v>58</v>
      </c>
    </row>
    <row r="26" spans="1:5" ht="15.75" x14ac:dyDescent="0.25">
      <c r="A26" s="4" t="s">
        <v>103</v>
      </c>
      <c r="D26" t="s">
        <v>59</v>
      </c>
    </row>
    <row r="27" spans="1:5" x14ac:dyDescent="0.25">
      <c r="A27" t="s">
        <v>4</v>
      </c>
      <c r="B27">
        <v>9.2799999999999994</v>
      </c>
      <c r="C27" t="s">
        <v>15</v>
      </c>
    </row>
    <row r="28" spans="1:5" x14ac:dyDescent="0.25">
      <c r="A28" t="s">
        <v>7</v>
      </c>
      <c r="B28">
        <v>0.3</v>
      </c>
      <c r="C28" t="s">
        <v>65</v>
      </c>
    </row>
    <row r="30" spans="1:5" ht="15.75" x14ac:dyDescent="0.25">
      <c r="A30" s="4" t="s">
        <v>69</v>
      </c>
      <c r="B30" s="5"/>
    </row>
    <row r="31" spans="1:5" ht="15.75" x14ac:dyDescent="0.25">
      <c r="A31" s="5" t="s">
        <v>9</v>
      </c>
      <c r="B31" s="5">
        <v>25.72428</v>
      </c>
      <c r="C31" t="s">
        <v>67</v>
      </c>
    </row>
    <row r="32" spans="1:5" ht="15.75" x14ac:dyDescent="0.25">
      <c r="A32" s="5" t="s">
        <v>10</v>
      </c>
      <c r="B32" s="5">
        <v>9.2599999998554949</v>
      </c>
      <c r="C32" t="s">
        <v>68</v>
      </c>
    </row>
    <row r="33" spans="1:3" ht="15.75" x14ac:dyDescent="0.25">
      <c r="A33" s="5"/>
      <c r="B33" s="5"/>
    </row>
    <row r="34" spans="1:3" ht="15.75" x14ac:dyDescent="0.25">
      <c r="A34" s="4" t="s">
        <v>70</v>
      </c>
      <c r="B34" s="5"/>
    </row>
    <row r="35" spans="1:3" ht="15.75" x14ac:dyDescent="0.25">
      <c r="A35" s="5" t="s">
        <v>9</v>
      </c>
      <c r="B35" s="5">
        <v>150</v>
      </c>
      <c r="C35" t="s">
        <v>71</v>
      </c>
    </row>
    <row r="36" spans="1:3" ht="15.75" x14ac:dyDescent="0.25">
      <c r="A36" s="5" t="s">
        <v>10</v>
      </c>
      <c r="B36" s="5">
        <v>12000.000000000453</v>
      </c>
      <c r="C36" t="s">
        <v>72</v>
      </c>
    </row>
    <row r="38" spans="1:3" ht="15.75" x14ac:dyDescent="0.25">
      <c r="A38" s="4" t="s">
        <v>78</v>
      </c>
      <c r="B38" s="5"/>
    </row>
    <row r="39" spans="1:3" ht="15.75" x14ac:dyDescent="0.25">
      <c r="A39" s="5" t="s">
        <v>9</v>
      </c>
      <c r="B39" s="5">
        <v>7.1428571428571426E-3</v>
      </c>
      <c r="C39" t="s">
        <v>79</v>
      </c>
    </row>
    <row r="40" spans="1:3" ht="15.75" x14ac:dyDescent="0.25">
      <c r="A40" s="5" t="s">
        <v>10</v>
      </c>
      <c r="B40" s="5">
        <v>2.0000000000054696E-2</v>
      </c>
      <c r="C40" t="s">
        <v>80</v>
      </c>
    </row>
    <row r="41" spans="1:3" ht="15.75" x14ac:dyDescent="0.25">
      <c r="A41" s="5" t="s">
        <v>127</v>
      </c>
      <c r="B41" s="5">
        <v>0.95</v>
      </c>
      <c r="C41" t="s">
        <v>128</v>
      </c>
    </row>
    <row r="43" spans="1:3" ht="15.75" x14ac:dyDescent="0.25">
      <c r="A43" s="4" t="s">
        <v>73</v>
      </c>
      <c r="B43" s="5"/>
    </row>
    <row r="44" spans="1:3" ht="15.75" x14ac:dyDescent="0.25">
      <c r="A44" s="5" t="s">
        <v>9</v>
      </c>
      <c r="B44" s="5">
        <v>1.5610999999999999</v>
      </c>
      <c r="C44" t="s">
        <v>74</v>
      </c>
    </row>
    <row r="45" spans="1:3" ht="15.75" x14ac:dyDescent="0.25">
      <c r="A45" s="5" t="s">
        <v>10</v>
      </c>
      <c r="B45" s="5">
        <v>24.6</v>
      </c>
      <c r="C45" t="s">
        <v>75</v>
      </c>
    </row>
    <row r="47" spans="1:3" ht="15.75" x14ac:dyDescent="0.25">
      <c r="A47" s="4" t="s">
        <v>83</v>
      </c>
      <c r="B47" s="6"/>
    </row>
    <row r="48" spans="1:3" ht="15.75" x14ac:dyDescent="0.25">
      <c r="A48" s="5" t="s">
        <v>85</v>
      </c>
      <c r="B48" s="5">
        <v>1.9980013326669332E-3</v>
      </c>
      <c r="C48" t="s">
        <v>81</v>
      </c>
    </row>
    <row r="49" spans="1:3" ht="15.75" x14ac:dyDescent="0.25">
      <c r="A49" s="5" t="s">
        <v>86</v>
      </c>
      <c r="B49" s="5">
        <v>-0.99800199866733297</v>
      </c>
      <c r="C49" t="s">
        <v>82</v>
      </c>
    </row>
    <row r="51" spans="1:3" ht="15.75" x14ac:dyDescent="0.25">
      <c r="A51" s="4" t="s">
        <v>84</v>
      </c>
      <c r="B51" s="6"/>
    </row>
    <row r="52" spans="1:3" ht="15.75" x14ac:dyDescent="0.25">
      <c r="A52" s="5" t="s">
        <v>85</v>
      </c>
      <c r="B52" s="5" t="s">
        <v>117</v>
      </c>
      <c r="C52" t="s">
        <v>87</v>
      </c>
    </row>
    <row r="53" spans="1:3" ht="15.75" x14ac:dyDescent="0.25">
      <c r="A53" s="5" t="s">
        <v>86</v>
      </c>
      <c r="B53" s="5" t="s">
        <v>118</v>
      </c>
      <c r="C53" t="s">
        <v>88</v>
      </c>
    </row>
  </sheetData>
  <dataConsolidate/>
  <mergeCells count="5">
    <mergeCell ref="D3:F3"/>
    <mergeCell ref="D6:F6"/>
    <mergeCell ref="D18:E18"/>
    <mergeCell ref="D9:E9"/>
    <mergeCell ref="A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imulationsTypeComboBox">
              <controlPr defaultSize="0" autoLine="0" autoPict="0" macro="[0]!SimulationsTypeComboBox_Change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imulationChoice">
              <controlPr defaultSize="0" autoLine="0" autoPict="0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5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aunchSimulation">
                <anchor moveWithCells="1" sizeWithCells="1">
                  <from>
                    <xdr:col>2</xdr:col>
                    <xdr:colOff>714375</xdr:colOff>
                    <xdr:row>13</xdr:row>
                    <xdr:rowOff>85725</xdr:rowOff>
                  </from>
                  <to>
                    <xdr:col>6</xdr:col>
                    <xdr:colOff>704850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4</xdr:col>
                    <xdr:colOff>266700</xdr:colOff>
                    <xdr:row>18</xdr:row>
                    <xdr:rowOff>180975</xdr:rowOff>
                  </from>
                  <to>
                    <xdr:col>4</xdr:col>
                    <xdr:colOff>571500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4</xdr:col>
                    <xdr:colOff>257175</xdr:colOff>
                    <xdr:row>19</xdr:row>
                    <xdr:rowOff>180975</xdr:rowOff>
                  </from>
                  <to>
                    <xdr:col>4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4</xdr:col>
                    <xdr:colOff>257175</xdr:colOff>
                    <xdr:row>20</xdr:row>
                    <xdr:rowOff>190500</xdr:rowOff>
                  </from>
                  <to>
                    <xdr:col>4</xdr:col>
                    <xdr:colOff>561975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4</xdr:col>
                    <xdr:colOff>257175</xdr:colOff>
                    <xdr:row>21</xdr:row>
                    <xdr:rowOff>190500</xdr:rowOff>
                  </from>
                  <to>
                    <xdr:col>4</xdr:col>
                    <xdr:colOff>561975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4</xdr:col>
                    <xdr:colOff>257175</xdr:colOff>
                    <xdr:row>22</xdr:row>
                    <xdr:rowOff>190500</xdr:rowOff>
                  </from>
                  <to>
                    <xdr:col>4</xdr:col>
                    <xdr:colOff>561975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4</xdr:col>
                    <xdr:colOff>257175</xdr:colOff>
                    <xdr:row>23</xdr:row>
                    <xdr:rowOff>190500</xdr:rowOff>
                  </from>
                  <to>
                    <xdr:col>4</xdr:col>
                    <xdr:colOff>561975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>
                <anchor moveWithCells="1">
                  <from>
                    <xdr:col>4</xdr:col>
                    <xdr:colOff>257175</xdr:colOff>
                    <xdr:row>24</xdr:row>
                    <xdr:rowOff>171450</xdr:rowOff>
                  </from>
                  <to>
                    <xdr:col>4</xdr:col>
                    <xdr:colOff>561975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SimulationSoftwareBox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190500</xdr:rowOff>
                  </from>
                  <to>
                    <xdr:col>4</xdr:col>
                    <xdr:colOff>752475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CalcPIAndFilters">
                <anchor moveWithCells="1" sizeWithCells="1">
                  <from>
                    <xdr:col>3</xdr:col>
                    <xdr:colOff>142875</xdr:colOff>
                    <xdr:row>35</xdr:row>
                    <xdr:rowOff>28575</xdr:rowOff>
                  </from>
                  <to>
                    <xdr:col>4</xdr:col>
                    <xdr:colOff>723900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7"/>
  <sheetViews>
    <sheetView workbookViewId="0">
      <selection activeCell="C14" sqref="C14"/>
    </sheetView>
  </sheetViews>
  <sheetFormatPr defaultColWidth="11.42578125" defaultRowHeight="15" x14ac:dyDescent="0.25"/>
  <cols>
    <col min="1" max="1" width="38.5703125" bestFit="1" customWidth="1"/>
    <col min="2" max="2" width="42.42578125" customWidth="1"/>
    <col min="3" max="3" width="38.42578125" customWidth="1"/>
    <col min="5" max="5" width="79.42578125" customWidth="1"/>
    <col min="6" max="6" width="52.85546875" bestFit="1" customWidth="1"/>
  </cols>
  <sheetData>
    <row r="1" spans="1:7" ht="18.75" x14ac:dyDescent="0.3">
      <c r="A1" s="30" t="s">
        <v>24</v>
      </c>
      <c r="B1" s="30"/>
      <c r="C1" s="30"/>
      <c r="D1" s="13"/>
      <c r="E1" s="13"/>
      <c r="F1" s="13"/>
      <c r="G1" s="13"/>
    </row>
    <row r="2" spans="1:7" x14ac:dyDescent="0.25">
      <c r="A2" s="16" t="s">
        <v>25</v>
      </c>
      <c r="B2" s="16" t="s">
        <v>63</v>
      </c>
      <c r="C2" s="16" t="s">
        <v>64</v>
      </c>
      <c r="E2" s="26" t="s">
        <v>105</v>
      </c>
      <c r="F2" s="26"/>
    </row>
    <row r="3" spans="1:7" x14ac:dyDescent="0.25">
      <c r="A3" s="16"/>
      <c r="B3" s="16"/>
      <c r="C3" s="16"/>
      <c r="E3" s="19" t="s">
        <v>102</v>
      </c>
      <c r="F3" t="s">
        <v>106</v>
      </c>
    </row>
    <row r="4" spans="1:7" ht="30" customHeight="1" x14ac:dyDescent="0.25">
      <c r="A4" s="21" t="s">
        <v>27</v>
      </c>
      <c r="B4" s="20" t="s">
        <v>101</v>
      </c>
      <c r="C4" s="19" t="s">
        <v>120</v>
      </c>
    </row>
    <row r="5" spans="1:7" x14ac:dyDescent="0.25">
      <c r="A5" t="s">
        <v>29</v>
      </c>
      <c r="B5" t="s">
        <v>89</v>
      </c>
      <c r="C5" t="s">
        <v>110</v>
      </c>
    </row>
    <row r="6" spans="1:7" x14ac:dyDescent="0.25">
      <c r="A6" t="s">
        <v>30</v>
      </c>
      <c r="B6" t="s">
        <v>90</v>
      </c>
      <c r="C6" t="s">
        <v>111</v>
      </c>
      <c r="E6" s="23" t="s">
        <v>115</v>
      </c>
    </row>
    <row r="7" spans="1:7" x14ac:dyDescent="0.25">
      <c r="A7" t="s">
        <v>31</v>
      </c>
      <c r="B7" t="s">
        <v>91</v>
      </c>
      <c r="C7" t="s">
        <v>112</v>
      </c>
      <c r="E7" s="22" t="s">
        <v>125</v>
      </c>
    </row>
    <row r="9" spans="1:7" ht="33.75" customHeight="1" x14ac:dyDescent="0.25">
      <c r="A9" s="21" t="s">
        <v>26</v>
      </c>
      <c r="B9" s="20" t="s">
        <v>100</v>
      </c>
      <c r="C9" s="20" t="s">
        <v>119</v>
      </c>
    </row>
    <row r="10" spans="1:7" x14ac:dyDescent="0.25">
      <c r="A10" t="s">
        <v>32</v>
      </c>
      <c r="B10" t="s">
        <v>95</v>
      </c>
      <c r="C10" t="s">
        <v>107</v>
      </c>
    </row>
    <row r="11" spans="1:7" x14ac:dyDescent="0.25">
      <c r="A11" t="s">
        <v>92</v>
      </c>
      <c r="B11" t="s">
        <v>94</v>
      </c>
      <c r="C11" t="s">
        <v>108</v>
      </c>
    </row>
    <row r="12" spans="1:7" x14ac:dyDescent="0.25">
      <c r="A12" t="s">
        <v>33</v>
      </c>
      <c r="B12" t="s">
        <v>93</v>
      </c>
      <c r="C12" t="s">
        <v>109</v>
      </c>
    </row>
    <row r="13" spans="1:7" x14ac:dyDescent="0.25">
      <c r="A13" t="s">
        <v>122</v>
      </c>
      <c r="B13" t="s">
        <v>124</v>
      </c>
      <c r="C13" t="s">
        <v>123</v>
      </c>
    </row>
    <row r="15" spans="1:7" ht="30" x14ac:dyDescent="0.25">
      <c r="A15" s="21" t="s">
        <v>28</v>
      </c>
      <c r="B15" s="19" t="s">
        <v>102</v>
      </c>
      <c r="C15" s="19" t="s">
        <v>121</v>
      </c>
    </row>
    <row r="16" spans="1:7" x14ac:dyDescent="0.25">
      <c r="A16" t="s">
        <v>96</v>
      </c>
      <c r="B16" t="s">
        <v>98</v>
      </c>
      <c r="C16" t="s">
        <v>113</v>
      </c>
    </row>
    <row r="17" spans="1:3" x14ac:dyDescent="0.25">
      <c r="A17" t="s">
        <v>97</v>
      </c>
      <c r="B17" t="s">
        <v>99</v>
      </c>
      <c r="C17" t="s">
        <v>114</v>
      </c>
    </row>
    <row r="24" spans="1:3" x14ac:dyDescent="0.25">
      <c r="A24" s="14" t="s">
        <v>60</v>
      </c>
    </row>
    <row r="25" spans="1:3" x14ac:dyDescent="0.25">
      <c r="A25" t="s">
        <v>62</v>
      </c>
    </row>
    <row r="26" spans="1:3" x14ac:dyDescent="0.25">
      <c r="A26" t="s">
        <v>61</v>
      </c>
    </row>
    <row r="27" spans="1:3" x14ac:dyDescent="0.25">
      <c r="C27" t="s">
        <v>126</v>
      </c>
    </row>
  </sheetData>
  <dataConsolidate/>
  <mergeCells count="2">
    <mergeCell ref="A1:C1"/>
    <mergeCell ref="E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ComboBoxTypeContent">
                <anchor moveWithCells="1" sizeWithCells="1">
                  <from>
                    <xdr:col>1</xdr:col>
                    <xdr:colOff>1590675</xdr:colOff>
                    <xdr:row>19</xdr:row>
                    <xdr:rowOff>66675</xdr:rowOff>
                  </from>
                  <to>
                    <xdr:col>2</xdr:col>
                    <xdr:colOff>495300</xdr:colOff>
                    <xdr:row>20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29"/>
  <sheetViews>
    <sheetView zoomScaleNormal="100" workbookViewId="0">
      <selection activeCell="D33" sqref="D33"/>
    </sheetView>
  </sheetViews>
  <sheetFormatPr defaultColWidth="11.42578125" defaultRowHeight="15" x14ac:dyDescent="0.25"/>
  <sheetData>
    <row r="1" spans="1:13" ht="21" x14ac:dyDescent="0.35">
      <c r="A1" s="24"/>
      <c r="B1" s="24"/>
      <c r="C1" s="24"/>
      <c r="D1" s="24"/>
      <c r="E1" s="24"/>
      <c r="F1" s="24"/>
      <c r="G1" s="24"/>
      <c r="H1" s="24"/>
      <c r="I1" s="24"/>
      <c r="J1" s="24"/>
      <c r="K1" s="13"/>
      <c r="L1" s="13"/>
      <c r="M1" s="13"/>
    </row>
    <row r="79" spans="11:13" x14ac:dyDescent="0.25">
      <c r="K79" s="9" t="s">
        <v>18</v>
      </c>
      <c r="L79" s="8"/>
      <c r="M79" s="8"/>
    </row>
    <row r="80" spans="11:13" ht="15.75" x14ac:dyDescent="0.25">
      <c r="K80" s="7" t="s">
        <v>0</v>
      </c>
      <c r="L80" s="10">
        <v>1.0000000000000001E-5</v>
      </c>
      <c r="M80" t="s">
        <v>11</v>
      </c>
    </row>
    <row r="81" spans="11:13" ht="15.75" x14ac:dyDescent="0.25">
      <c r="K81" s="7" t="s">
        <v>36</v>
      </c>
      <c r="L81" s="17">
        <v>0.9</v>
      </c>
      <c r="M81" t="s">
        <v>37</v>
      </c>
    </row>
    <row r="82" spans="11:13" ht="15.75" x14ac:dyDescent="0.25">
      <c r="K82" s="7" t="s">
        <v>20</v>
      </c>
      <c r="L82" s="17">
        <v>50</v>
      </c>
      <c r="M82" t="s">
        <v>12</v>
      </c>
    </row>
    <row r="83" spans="11:13" ht="15.75" x14ac:dyDescent="0.25">
      <c r="K83" s="2" t="s">
        <v>1</v>
      </c>
      <c r="L83" s="2">
        <v>3000</v>
      </c>
      <c r="M83" t="s">
        <v>19</v>
      </c>
    </row>
    <row r="84" spans="11:13" ht="15.75" x14ac:dyDescent="0.25">
      <c r="K84" s="2" t="s">
        <v>2</v>
      </c>
      <c r="L84" s="10">
        <v>1.0000000000000001E-5</v>
      </c>
      <c r="M84" t="s">
        <v>13</v>
      </c>
    </row>
    <row r="85" spans="11:13" ht="15.75" x14ac:dyDescent="0.25">
      <c r="K85" s="5" t="s">
        <v>8</v>
      </c>
      <c r="L85" s="11">
        <v>0.01</v>
      </c>
      <c r="M85" t="s">
        <v>14</v>
      </c>
    </row>
    <row r="86" spans="11:13" ht="15.75" x14ac:dyDescent="0.25">
      <c r="K86" s="5" t="s">
        <v>47</v>
      </c>
      <c r="L86" s="5">
        <v>450</v>
      </c>
      <c r="M86" t="s">
        <v>48</v>
      </c>
    </row>
    <row r="87" spans="11:13" ht="15.75" x14ac:dyDescent="0.25">
      <c r="K87" s="5" t="s">
        <v>76</v>
      </c>
      <c r="L87" s="2">
        <v>1000</v>
      </c>
      <c r="M87" t="s">
        <v>77</v>
      </c>
    </row>
    <row r="89" spans="11:13" ht="15.75" x14ac:dyDescent="0.25">
      <c r="K89" s="3" t="s">
        <v>3</v>
      </c>
    </row>
    <row r="90" spans="11:13" ht="15.75" x14ac:dyDescent="0.25">
      <c r="K90" s="2" t="s">
        <v>4</v>
      </c>
      <c r="L90" s="2">
        <v>0.28000000000000003</v>
      </c>
      <c r="M90" t="s">
        <v>49</v>
      </c>
    </row>
    <row r="91" spans="11:13" ht="15.75" x14ac:dyDescent="0.25">
      <c r="K91" s="2" t="s">
        <v>5</v>
      </c>
      <c r="L91" s="2">
        <v>0.1</v>
      </c>
      <c r="M91" t="s">
        <v>104</v>
      </c>
    </row>
    <row r="92" spans="11:13" ht="15.75" x14ac:dyDescent="0.25">
      <c r="K92" s="2"/>
      <c r="L92" s="2"/>
    </row>
    <row r="93" spans="11:13" ht="15.75" x14ac:dyDescent="0.25">
      <c r="K93" s="4" t="s">
        <v>6</v>
      </c>
      <c r="L93" s="6"/>
    </row>
    <row r="94" spans="11:13" ht="15.75" x14ac:dyDescent="0.25">
      <c r="K94" s="5" t="s">
        <v>4</v>
      </c>
      <c r="L94" s="5">
        <v>100000</v>
      </c>
      <c r="M94" t="s">
        <v>16</v>
      </c>
    </row>
    <row r="95" spans="11:13" ht="15.75" x14ac:dyDescent="0.25">
      <c r="K95" s="5" t="s">
        <v>7</v>
      </c>
      <c r="L95" s="12" t="s">
        <v>21</v>
      </c>
      <c r="M95" t="s">
        <v>17</v>
      </c>
    </row>
    <row r="96" spans="11:13" ht="15.75" x14ac:dyDescent="0.25">
      <c r="K96" s="5"/>
      <c r="L96" s="5"/>
    </row>
    <row r="97" spans="11:13" ht="15.75" x14ac:dyDescent="0.25">
      <c r="K97" s="4" t="s">
        <v>39</v>
      </c>
      <c r="L97" s="13"/>
      <c r="M97" s="13"/>
    </row>
    <row r="98" spans="11:13" x14ac:dyDescent="0.25">
      <c r="K98" t="s">
        <v>40</v>
      </c>
      <c r="L98">
        <v>2000</v>
      </c>
      <c r="M98" t="s">
        <v>41</v>
      </c>
    </row>
    <row r="99" spans="11:13" x14ac:dyDescent="0.25">
      <c r="K99" t="s">
        <v>42</v>
      </c>
      <c r="L99">
        <v>5000</v>
      </c>
      <c r="M99" t="s">
        <v>43</v>
      </c>
    </row>
    <row r="100" spans="11:13" x14ac:dyDescent="0.25">
      <c r="K100" t="s">
        <v>44</v>
      </c>
      <c r="L100">
        <v>1469.7</v>
      </c>
      <c r="M100" t="s">
        <v>66</v>
      </c>
    </row>
    <row r="101" spans="11:13" x14ac:dyDescent="0.25">
      <c r="K101" t="s">
        <v>45</v>
      </c>
      <c r="L101" s="18">
        <v>8.1486999999999998E-4</v>
      </c>
      <c r="M101" t="s">
        <v>46</v>
      </c>
    </row>
    <row r="103" spans="11:13" ht="15.75" x14ac:dyDescent="0.25">
      <c r="K103" s="4" t="s">
        <v>103</v>
      </c>
    </row>
    <row r="104" spans="11:13" x14ac:dyDescent="0.25">
      <c r="K104" t="s">
        <v>4</v>
      </c>
      <c r="L104">
        <v>9.26</v>
      </c>
      <c r="M104" t="s">
        <v>15</v>
      </c>
    </row>
    <row r="105" spans="11:13" x14ac:dyDescent="0.25">
      <c r="K105" t="s">
        <v>7</v>
      </c>
      <c r="L105">
        <v>0.3</v>
      </c>
      <c r="M105" t="s">
        <v>65</v>
      </c>
    </row>
    <row r="107" spans="11:13" ht="15.75" x14ac:dyDescent="0.25">
      <c r="K107" s="4" t="s">
        <v>69</v>
      </c>
      <c r="L107" s="5"/>
    </row>
    <row r="108" spans="11:13" ht="15.75" x14ac:dyDescent="0.25">
      <c r="K108" s="5" t="s">
        <v>9</v>
      </c>
      <c r="L108" s="5">
        <v>1.5610999999999999</v>
      </c>
      <c r="M108" t="s">
        <v>67</v>
      </c>
    </row>
    <row r="109" spans="11:13" ht="15.75" x14ac:dyDescent="0.25">
      <c r="K109" s="5" t="s">
        <v>10</v>
      </c>
      <c r="L109" s="5">
        <v>24.6</v>
      </c>
      <c r="M109" t="s">
        <v>68</v>
      </c>
    </row>
    <row r="110" spans="11:13" ht="15.75" x14ac:dyDescent="0.25">
      <c r="K110" s="5"/>
      <c r="L110" s="5"/>
    </row>
    <row r="111" spans="11:13" ht="15.75" x14ac:dyDescent="0.25">
      <c r="K111" s="4" t="s">
        <v>70</v>
      </c>
      <c r="L111" s="5"/>
    </row>
    <row r="112" spans="11:13" ht="15.75" x14ac:dyDescent="0.25">
      <c r="K112" s="5" t="s">
        <v>9</v>
      </c>
      <c r="L112" s="5">
        <v>1.5610999999999999</v>
      </c>
      <c r="M112" t="s">
        <v>71</v>
      </c>
    </row>
    <row r="113" spans="11:13" ht="15.75" x14ac:dyDescent="0.25">
      <c r="K113" s="5" t="s">
        <v>10</v>
      </c>
      <c r="L113" s="5">
        <v>24.6</v>
      </c>
      <c r="M113" t="s">
        <v>72</v>
      </c>
    </row>
    <row r="115" spans="11:13" ht="15.75" x14ac:dyDescent="0.25">
      <c r="K115" s="4" t="s">
        <v>78</v>
      </c>
      <c r="L115" s="5"/>
    </row>
    <row r="116" spans="11:13" ht="15.75" x14ac:dyDescent="0.25">
      <c r="K116" s="5" t="s">
        <v>9</v>
      </c>
      <c r="L116" s="5">
        <v>1.5610999999999999</v>
      </c>
      <c r="M116" t="s">
        <v>79</v>
      </c>
    </row>
    <row r="117" spans="11:13" ht="15.75" x14ac:dyDescent="0.25">
      <c r="K117" s="5" t="s">
        <v>10</v>
      </c>
      <c r="L117" s="5">
        <v>24.6</v>
      </c>
      <c r="M117" t="s">
        <v>80</v>
      </c>
    </row>
    <row r="119" spans="11:13" ht="15.75" x14ac:dyDescent="0.25">
      <c r="K119" s="4" t="s">
        <v>73</v>
      </c>
      <c r="L119" s="5"/>
    </row>
    <row r="120" spans="11:13" ht="15.75" x14ac:dyDescent="0.25">
      <c r="K120" s="5" t="s">
        <v>9</v>
      </c>
      <c r="L120" s="5">
        <v>1.5610999999999999</v>
      </c>
      <c r="M120" t="s">
        <v>74</v>
      </c>
    </row>
    <row r="121" spans="11:13" ht="15.75" x14ac:dyDescent="0.25">
      <c r="K121" s="5" t="s">
        <v>10</v>
      </c>
      <c r="L121" s="5">
        <v>24.6</v>
      </c>
      <c r="M121" t="s">
        <v>75</v>
      </c>
    </row>
    <row r="123" spans="11:13" ht="15.75" x14ac:dyDescent="0.25">
      <c r="K123" s="4" t="s">
        <v>83</v>
      </c>
      <c r="L123" s="6"/>
    </row>
    <row r="124" spans="11:13" ht="15.75" x14ac:dyDescent="0.25">
      <c r="K124" s="5" t="s">
        <v>85</v>
      </c>
      <c r="L124" s="5" t="s">
        <v>22</v>
      </c>
      <c r="M124" t="s">
        <v>81</v>
      </c>
    </row>
    <row r="125" spans="11:13" ht="15.75" x14ac:dyDescent="0.25">
      <c r="K125" s="5" t="s">
        <v>86</v>
      </c>
      <c r="L125" s="5" t="s">
        <v>23</v>
      </c>
      <c r="M125" t="s">
        <v>82</v>
      </c>
    </row>
    <row r="127" spans="11:13" ht="15.75" x14ac:dyDescent="0.25">
      <c r="K127" s="4" t="s">
        <v>84</v>
      </c>
      <c r="L127" s="6"/>
    </row>
    <row r="128" spans="11:13" ht="15.75" x14ac:dyDescent="0.25">
      <c r="K128" s="5" t="s">
        <v>85</v>
      </c>
      <c r="L128" s="5" t="s">
        <v>22</v>
      </c>
      <c r="M128" t="s">
        <v>87</v>
      </c>
    </row>
    <row r="129" spans="11:13" ht="15.75" x14ac:dyDescent="0.25">
      <c r="K129" s="5" t="s">
        <v>86</v>
      </c>
      <c r="L129" s="5" t="s">
        <v>23</v>
      </c>
      <c r="M129" t="s">
        <v>88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Paramètres</vt:lpstr>
      <vt:lpstr>Options</vt:lpstr>
      <vt:lpstr>Résultats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</dc:creator>
  <cp:lastModifiedBy>Francis Valois</cp:lastModifiedBy>
  <dcterms:created xsi:type="dcterms:W3CDTF">2014-03-22T19:53:36Z</dcterms:created>
  <dcterms:modified xsi:type="dcterms:W3CDTF">2014-04-23T00:52:05Z</dcterms:modified>
</cp:coreProperties>
</file>